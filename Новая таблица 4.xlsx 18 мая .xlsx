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<sst xmlns="http://schemas.openxmlformats.org/spreadsheetml/2006/main" xmlns:a="http://schemas.openxmlformats.org/drawingml/2006/main" xmlns:a15="http://schemas.microsoft.com/office/drawing/2012/main" xmlns:asvg="http://schemas.microsoft.com/office/drawing/2016/SVG/main" xmlns:c="http://schemas.openxmlformats.org/drawingml/2006/chart" xmlns:co="http://ncloudtech.com" xmlns:co-ooxml="http://ncloudtech.com/ooxml" xmlns:m="http://schemas.openxmlformats.org/officeDocument/2006/math" xmlns:mc="http://schemas.openxmlformats.org/markup-compatibility/2006" xmlns:o="urn:schemas-microsoft-com:office:office" xmlns:p="http://schemas.openxmlformats.org/presentationml/2006/main" xmlns:pic="http://schemas.openxmlformats.org/drawingml/2006/picture" xmlns:r="http://schemas.openxmlformats.org/officeDocument/2006/relationships" xmlns:s="http://schemas.openxmlformats.org/officeDocument/2006/sharedTypes" xmlns:sl="http://schemas.openxmlformats.org/schemaLibrary/2006/main" xmlns:v="urn:schemas-microsoft-com:vml" xmlns:w="http://schemas.openxmlformats.org/wordprocessingml/2006/main" xmlns:w10="urn:schemas-microsoft-com:office:word" xmlns:w14="http://schemas.microsoft.com/office/word/2010/wordml" xmlns:w15="http://schemas.microsoft.com/office/word/2012/wordml" xmlns:wp="http://schemas.openxmlformats.org/drawingml/2006/wordprocessingDrawing" xmlns:wpg="http://schemas.microsoft.com/office/word/2010/wordprocessingGroup" xmlns:wps="http://schemas.microsoft.com/office/word/2010/wordprocessingShape" xmlns:x="urn:schemas-microsoft-com:office:excel" xmlns:x12ac="http://schemas.microsoft.com/office/spreadsheetml/2011/1/ac" xmlns:x14="http://schemas.microsoft.com/office/spreadsheetml/2009/9/main" xmlns:xdr="http://schemas.openxmlformats.org/drawingml/2006/spreadsheetDrawing" xmlns:xm="http://schemas.microsoft.com/office/excel/2006/main" mc:Ignorable="co co-ooxml w14 x14 w15">
  <si>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</si>
  <si>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 xml:space="preserve">Сумма </t>
  </si>
  <si>
    <t>Максимальный показатель</t>
  </si>
  <si/>
  <si>
    <t xml:space="preserve">Сумма для 2 </t>
  </si>
  <si>
    <t xml:space="preserve">Сумма для 3 </t>
  </si>
  <si>
    <t>Статистическая функция</t>
  </si>
  <si>
    <t>Для A(Лист 3 )</t>
  </si>
  <si>
    <t>Для B (Лист 3)</t>
  </si>
  <si>
    <t>Для C (Лист 3)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</si>
  <si>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</si>
  <si>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</si>
  <si>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</si>
  <si>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>Медиана</t>
  </si>
  <si>
    <t xml:space="preserve">Мода </t>
  </si>
  <si>
    <t xml:space="preserve">Дисперсия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</si>
</sst>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0.00E+00" formatCode="0.00E+00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4101977095914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s">
        <v>3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  <col customWidth="true" max="2" min="2" outlineLevel="0" width="30.199554856109785"/>
    <col customWidth="true" max="3" min="3" outlineLevel="0" width="25.277157304418097"/>
  </cols>
  <sheetData>
    <row outlineLevel="0" r="1">
      <c r="A1" s="0" t="s">
        <v>2</v>
      </c>
      <c r="B1" s="0" t="s">
        <v>4</v>
      </c>
      <c r="C1" s="0" t="s">
        <v>5</v>
      </c>
    </row>
    <row outlineLevel="0" r="2">
      <c r="A2" s="0" t="n">
        <v>0</v>
      </c>
      <c r="B2" s="0" t="n">
        <f aca="false" ca="false" dt2D="false" dtr="false" t="normal">VLOOKUP(A2, 'Лист1'!$A$2:$B$25, 2, 0)</f>
        <v>1</v>
      </c>
      <c r="C2" s="0" t="n">
        <v>1</v>
      </c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  <c r="C3" s="0" t="n">
        <v>4</v>
      </c>
      <c r="D3" s="0" t="s">
        <v>3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  <c r="C4" s="0" t="n">
        <v>13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  <c r="C5" s="0" t="n">
        <v>40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  <c r="C6" s="0" t="n">
        <v>121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  <c r="C7" s="0" t="n">
        <v>364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  <c r="C8" s="0" t="n">
        <v>1093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  <c r="C9" s="0" t="n">
        <v>3280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  <c r="C10" s="0" t="n">
        <v>9841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  <c r="C11" s="0" t="n">
        <v>29524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  <c r="C12" s="0" t="n">
        <v>88573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  <c r="C13" s="0" t="n">
        <v>265720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  <c r="C14" s="0" t="n">
        <v>797161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  <c r="C15" s="0" t="n">
        <v>2391484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  <c r="C16" s="0" t="n">
        <v>7174453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  <c r="C17" s="0" t="n">
        <v>21523360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  <c r="C18" s="0" t="n">
        <v>64570081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  <c r="C19" s="0" t="n">
        <v>193710244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  <c r="C20" s="0" t="n">
        <v>581130733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  <c r="C21" s="0" t="n">
        <v>1743392200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  <c r="C22" s="0" t="n">
        <v>5230176601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  <c r="C23" s="0" t="n">
        <v>15690529804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  <c r="C24" s="0" t="n">
        <v>47071589413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  <c r="C25" s="1" t="n">
        <v>141000000000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547669930389809"/>
    <col customWidth="true" max="2" min="2" outlineLevel="0" width="26.075386202163397"/>
    <col customWidth="true" max="3" min="3" outlineLevel="0" width="14.235033741040748"/>
    <col customWidth="true" max="4" min="4" outlineLevel="0" width="13.968958344011948"/>
  </cols>
  <sheetData>
    <row outlineLevel="0" r="1">
      <c r="A1" s="0" t="s">
        <v>6</v>
      </c>
      <c r="B1" s="0" t="s">
        <v>7</v>
      </c>
      <c r="C1" s="0" t="s">
        <v>8</v>
      </c>
      <c r="D1" s="0" t="s">
        <v>9</v>
      </c>
    </row>
    <row outlineLevel="0" r="2">
      <c r="A2" s="0" t="s">
        <v>10</v>
      </c>
      <c r="B2" s="0" t="n">
        <f aca="false" ca="false" dt2D="false" dtr="false" t="normal">AVERAGE('Лист3'!A2:A25)</f>
        <v>11.5</v>
      </c>
      <c r="C2" s="0" t="n">
        <f aca="false" ca="false" dt2D="false" dtr="false" t="normal">AVERAGE('Лист3'!B2:B25)</f>
        <v>1398100.25</v>
      </c>
      <c r="D2" s="0" t="n">
        <f aca="false" ca="false" dt2D="false" dtr="false" t="normal">AVERAGE('Лист3'!C2:C25)</f>
        <v>8816974337.833334</v>
      </c>
    </row>
    <row outlineLevel="0" r="3">
      <c r="A3" s="0" t="s">
        <v>11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141000000000</v>
      </c>
    </row>
    <row outlineLevel="0" r="4">
      <c r="A4" s="0" t="s">
        <v>12</v>
      </c>
      <c r="B4" s="0" t="n">
        <f aca="false" ca="false" dt2D="false" dtr="false" t="normal">MIN('Лист3'!A2:A25)</f>
        <v>0</v>
      </c>
      <c r="C4" s="0" t="n">
        <f aca="false" ca="false" dt2D="false" dtr="false" t="normal">MIN('Лист3'!B2:B25)</f>
        <v>1</v>
      </c>
      <c r="D4" s="0" t="n">
        <f aca="false" ca="false" dt2D="false" dtr="false" t="normal">MIN('Лист3'!C2:C25)</f>
        <v>1</v>
      </c>
    </row>
    <row outlineLevel="0" r="5">
      <c r="A5" s="0" t="s">
        <v>13</v>
      </c>
      <c r="B5" s="0" t="n">
        <f aca="false" ca="false" dt2D="false" dtr="false" t="normal">MEDIAN('Лист3'!A2:A25)</f>
        <v>11.5</v>
      </c>
      <c r="C5" s="0" t="n">
        <f aca="false" ca="false" dt2D="false" dtr="false" t="normal">MEDIAN('Лист3'!B2:B25)</f>
        <v>6143</v>
      </c>
      <c r="D5" s="0" t="n">
        <f aca="false" ca="false" dt2D="false" dtr="false" t="normal">MEDIAN('Лист3'!C2:C25)</f>
        <v>531440.5</v>
      </c>
    </row>
    <row outlineLevel="0" r="6">
      <c r="A6" s="0" t="s">
        <v>14</v>
      </c>
      <c r="B6" s="0" t="e">
        <f aca="false" ca="false" dt2D="false" dtr="false" t="normal">_XLFN.MODE.SNGL('Лист3'!A2:A25)</f>
        <v>#N/A</v>
      </c>
      <c r="C6" s="0" t="e">
        <f aca="false" ca="false" dt2D="false" dtr="false" t="normal">_XLFN.MODE.SNGL('Лист3'!B2:B25)</f>
        <v>#N/A</v>
      </c>
      <c r="D6" s="0" t="e">
        <f aca="false" ca="false" dt2D="false" dtr="false" t="normal">_XLFN.MODE.SNGL('Лист3'!C2:C25)</f>
        <v>#N/A</v>
      </c>
    </row>
    <row outlineLevel="0" r="7">
      <c r="A7" s="0" t="s">
        <v>15</v>
      </c>
      <c r="B7" s="0" t="n">
        <f aca="false" ca="false" dt2D="false" dtr="false" t="normal">_XLFN.VAR.S('Лист3'!A2:A25)</f>
        <v>50</v>
      </c>
      <c r="C7" s="0" t="n">
        <f aca="false" ca="false" dt2D="false" dtr="false" t="normal">_XLFN.VAR.S('Лист3'!B2:B25)</f>
        <v>14277716453108.805</v>
      </c>
      <c r="D7" s="0" t="n">
        <f aca="false" ca="false" dt2D="false" dtr="false" t="normal">_XLFN.VAR.S('Лист3'!C2:C25)</f>
        <v>8.9165062916110352E+20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2026-05-18T09:05:15Z</dcterms:created>
  <dcterms:modified xsi:type="dcterms:W3CDTF">2026-05-18T09:05:15Z</dcterms:modified>
</cp:coreProperties>
</file>